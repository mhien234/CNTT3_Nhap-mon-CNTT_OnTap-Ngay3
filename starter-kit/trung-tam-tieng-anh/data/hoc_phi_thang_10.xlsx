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ikkei-app\Thực Hành MarkDown.Minh Hiển\starter-kit (2)\starter-kit\trung-tam-tieng-anh\data\"/>
    </mc:Choice>
  </mc:AlternateContent>
  <xr:revisionPtr revIDLastSave="0" documentId="8_{D3691B97-924C-4766-81FD-68319934F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E13" i="1"/>
  <c r="G13" i="1" s="1"/>
  <c r="E14" i="1"/>
  <c r="G14" i="1" s="1"/>
  <c r="E12" i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4" i="1"/>
  <c r="E15" i="1"/>
  <c r="G15" i="1" s="1"/>
  <c r="E16" i="1"/>
  <c r="E3" i="1"/>
  <c r="E2" i="1"/>
  <c r="G2" i="1" l="1"/>
  <c r="G12" i="1"/>
  <c r="G3" i="1"/>
  <c r="G4" i="1"/>
  <c r="G16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<sst xmlns="http://schemas.openxmlformats.org/spreadsheetml/2006/main" count="72" uniqueCount="53">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</sst>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E21" sqref="E21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3</v>
      </c>
      <c r="E2" t="str">
        <f>VLOOKUP(C2,KhoaHoc!$A$7:$B$7,2,FALSE)</f>
        <v>Tieng Anh thieu nhi</v>
      </c>
      <c r="F2">
        <f>VLOOKUP(C2,KhoaHoc!$A$2:$C$8,3,0)</f>
        <v>900000</v>
      </c>
      <c r="G2">
        <f>SUM(D2:F2)</f>
        <v>900003</v>
      </c>
    </row>
    <row r="3" spans="1:7" x14ac:dyDescent="0.3">
      <c r="A3" t="s">
        <v>10</v>
      </c>
      <c r="B3" t="s">
        <v>11</v>
      </c>
      <c r="C3" t="s">
        <v>12</v>
      </c>
      <c r="D3">
        <v>2</v>
      </c>
      <c r="E3" t="str">
        <f>VLOOKUP(C3,KhoaHoc!$A$5:$B$5,2,0)</f>
        <v>IELTS 6.5</v>
      </c>
      <c r="F3">
        <f>VLOOKUP(C3,KhoaHoc!$A$2:$C$8,3,0)</f>
        <v>2500000</v>
      </c>
      <c r="G3">
        <f t="shared" ref="G3:G16" si="0">SUM(D3:F3)</f>
        <v>2500002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VLOOKUP(C4,KhoaHoc!$A$8:$B$8,2,0)</f>
        <v>Luyen phong van</v>
      </c>
      <c r="F4">
        <f>VLOOKUP(C4,KhoaHoc!$A$2:$C$8,3,0)</f>
        <v>3000000</v>
      </c>
      <c r="G4">
        <f t="shared" si="0"/>
        <v>3000003</v>
      </c>
    </row>
    <row r="5" spans="1:7" x14ac:dyDescent="0.3">
      <c r="A5" t="s">
        <v>16</v>
      </c>
      <c r="B5" t="s">
        <v>17</v>
      </c>
      <c r="C5" t="s">
        <v>18</v>
      </c>
      <c r="D5">
        <v>1</v>
      </c>
      <c r="E5" t="str">
        <f>VLOOKUP(C5,KhoaHoc!$A$3:$B$8,2,0)</f>
        <v>Giao tiep nang cao</v>
      </c>
      <c r="F5">
        <f>VLOOKUP(C5,KhoaHoc!$A$2:$C$8,3,0)</f>
        <v>1500000</v>
      </c>
      <c r="G5">
        <f t="shared" si="0"/>
        <v>1500001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VLOOKUP(C6,KhoaHoc!$A$3:$B$8,2,0)</f>
        <v>Giao tiep nang cao</v>
      </c>
      <c r="F6">
        <f>VLOOKUP(C6,KhoaHoc!$A$2:$C$8,3,0)</f>
        <v>1500000</v>
      </c>
      <c r="G6">
        <f t="shared" si="0"/>
        <v>1500004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VLOOKUP(C7,KhoaHoc!$A$3:$B$8,2,0)</f>
        <v>IELTS 5.0</v>
      </c>
      <c r="F7">
        <f>VLOOKUP(C7,KhoaHoc!$A$2:$C$8,3,0)</f>
        <v>2000000</v>
      </c>
      <c r="G7">
        <f t="shared" si="0"/>
        <v>2000004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VLOOKUP(C8,KhoaHoc!$A$3:$B$8,2,0)</f>
        <v>TOEIC 550</v>
      </c>
      <c r="F8">
        <f>VLOOKUP(C8,KhoaHoc!$A$2:$C$8,3,0)</f>
        <v>1800000</v>
      </c>
      <c r="G8">
        <f t="shared" si="0"/>
        <v>1800004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VLOOKUP(C9,KhoaHoc!$A$8:$B$8,2,0)</f>
        <v>Luyen phong van</v>
      </c>
      <c r="F9">
        <f>VLOOKUP(C9,KhoaHoc!$A$2:$C$8,3,0)</f>
        <v>3000000</v>
      </c>
      <c r="G9">
        <f t="shared" si="0"/>
        <v>3000003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VLOOKUP(C10,KhoaHoc!$A$5:$B$5,2,0)</f>
        <v>IELTS 6.5</v>
      </c>
      <c r="F10">
        <f>VLOOKUP(C10,KhoaHoc!$A$2:$C$8,3,0)</f>
        <v>2500000</v>
      </c>
      <c r="G10">
        <f t="shared" si="0"/>
        <v>2500003</v>
      </c>
    </row>
    <row r="11" spans="1:7" x14ac:dyDescent="0.3">
      <c r="A11" t="s">
        <v>31</v>
      </c>
      <c r="B11" t="s">
        <v>32</v>
      </c>
      <c r="C11" t="s">
        <v>12</v>
      </c>
      <c r="D11">
        <v>1</v>
      </c>
      <c r="E11" t="str">
        <f>VLOOKUP(C11,KhoaHoc!$A$5:$B$5,2,0)</f>
        <v>IELTS 6.5</v>
      </c>
      <c r="F11">
        <f>VLOOKUP(C11,KhoaHoc!$A$2:$C$8,3,0)</f>
        <v>2500000</v>
      </c>
      <c r="G11">
        <f t="shared" si="0"/>
        <v>2500001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VLOOKUP(C12,KhoaHoc!A4:B8,2,0)</f>
        <v>Tieng Anh thieu nhi</v>
      </c>
      <c r="F12">
        <f>VLOOKUP(C12,KhoaHoc!$A$2:$C$8,3,0)</f>
        <v>900000</v>
      </c>
      <c r="G12">
        <f t="shared" si="0"/>
        <v>900001</v>
      </c>
    </row>
    <row r="13" spans="1:7" x14ac:dyDescent="0.3">
      <c r="A13" t="s">
        <v>35</v>
      </c>
      <c r="B13" t="s">
        <v>36</v>
      </c>
      <c r="C13" t="s">
        <v>37</v>
      </c>
      <c r="D13">
        <v>4</v>
      </c>
      <c r="E13" t="str">
        <f>VLOOKUP(C13,KhoaHoc!A2:B2,2,0)</f>
        <v>Giao tiep co ban</v>
      </c>
      <c r="F13">
        <f>VLOOKUP(C13,KhoaHoc!$A$2:$C$8,3,0)</f>
        <v>1200000</v>
      </c>
      <c r="G13">
        <f t="shared" si="0"/>
        <v>1200004</v>
      </c>
    </row>
    <row r="14" spans="1:7" x14ac:dyDescent="0.3">
      <c r="A14" t="s">
        <v>38</v>
      </c>
      <c r="B14" t="s">
        <v>39</v>
      </c>
      <c r="C14" t="s">
        <v>26</v>
      </c>
      <c r="D14">
        <v>3</v>
      </c>
      <c r="E14" t="str">
        <f>VLOOKUP(C14,KhoaHoc!A6:B10,2,0)</f>
        <v>TOEIC 550</v>
      </c>
      <c r="F14">
        <f>VLOOKUP(C14,KhoaHoc!$A$2:$C$8,3,0)</f>
        <v>1800000</v>
      </c>
      <c r="G14">
        <f t="shared" si="0"/>
        <v>1800003</v>
      </c>
    </row>
    <row r="15" spans="1:7" x14ac:dyDescent="0.3">
      <c r="A15" t="s">
        <v>40</v>
      </c>
      <c r="B15" t="s">
        <v>41</v>
      </c>
      <c r="C15" t="s">
        <v>12</v>
      </c>
      <c r="D15">
        <v>1</v>
      </c>
      <c r="E15" t="str">
        <f>VLOOKUP(C15,KhoaHoc!$A$5:$B$5,2,0)</f>
        <v>IELTS 6.5</v>
      </c>
      <c r="F15">
        <f>VLOOKUP(C15,KhoaHoc!$A$2:$C$8,3,0)</f>
        <v>2500000</v>
      </c>
      <c r="G15">
        <f t="shared" si="0"/>
        <v>2500001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VLOOKUP(C16,KhoaHoc!$A$5:$B$5,2,0)</f>
        <v>IELTS 6.5</v>
      </c>
      <c r="F16">
        <f>VLOOKUP(C16,KhoaHoc!$A$2:$C$8,3,0)</f>
        <v>2500000</v>
      </c>
      <c r="G16">
        <f t="shared" si="0"/>
        <v>2500004</v>
      </c>
    </row>
  </sheetData>
  <autoFilter ref="A1:G16" xr:uid="{00000000-0001-0000-0000-000000000000}">
    <filterColumn colId="6">
      <filters>
        <filter val="1200004"/>
        <filter val="1500001"/>
        <filter val="1500004"/>
        <filter val="1800003"/>
        <filter val="1800004"/>
        <filter val="2000004"/>
        <filter val="2500001"/>
        <filter val="2500002"/>
        <filter val="2500003"/>
        <filter val="2500004"/>
        <filter val="3000003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5" sqref="F5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chau minh chau</cp:lastModifiedBy>
  <dcterms:created xsi:type="dcterms:W3CDTF">2026-10-19T10:04:50Z</dcterms:created>
  <dcterms:modified xsi:type="dcterms:W3CDTF">2026-10-22T13:51:44Z</dcterms:modified>
</cp:coreProperties>
</file>